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oshYJ\Downloads\"/>
    </mc:Choice>
  </mc:AlternateContent>
  <xr:revisionPtr revIDLastSave="0" documentId="13_ncr:1_{8C026E2B-AD43-4796-8905-AA4C9898C244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Gantt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25" i="1" l="1"/>
  <c r="G23" i="1"/>
  <c r="G22" i="1"/>
  <c r="G21" i="1"/>
  <c r="G20" i="1"/>
  <c r="G19" i="1"/>
  <c r="G18" i="1"/>
  <c r="G17" i="1"/>
  <c r="G16" i="1"/>
  <c r="G15" i="1"/>
  <c r="G13" i="1"/>
  <c r="G12" i="1"/>
  <c r="G11" i="1"/>
  <c r="G10" i="1"/>
  <c r="G9" i="1"/>
  <c r="G8" i="1"/>
  <c r="G7" i="1"/>
  <c r="I5" i="1"/>
  <c r="J4" i="1"/>
  <c r="K4" i="1" s="1"/>
  <c r="I4" i="1"/>
  <c r="L4" i="1" l="1"/>
  <c r="K5" i="1"/>
  <c r="J5" i="1"/>
  <c r="M4" i="1" l="1"/>
  <c r="L5" i="1"/>
  <c r="N4" i="1" l="1"/>
  <c r="M5" i="1"/>
  <c r="O4" i="1" l="1"/>
  <c r="N5" i="1"/>
  <c r="P4" i="1" l="1"/>
  <c r="O5" i="1"/>
  <c r="Q4" i="1" l="1"/>
  <c r="P5" i="1"/>
  <c r="Q5" i="1" l="1"/>
  <c r="R4" i="1"/>
  <c r="R5" i="1" l="1"/>
  <c r="S4" i="1"/>
  <c r="S5" i="1" l="1"/>
  <c r="T4" i="1"/>
  <c r="T5" i="1" l="1"/>
  <c r="U4" i="1"/>
  <c r="V4" i="1" l="1"/>
  <c r="U5" i="1"/>
  <c r="W4" i="1" l="1"/>
  <c r="V5" i="1"/>
  <c r="X4" i="1" l="1"/>
  <c r="W5" i="1"/>
  <c r="Y4" i="1" l="1"/>
  <c r="X5" i="1"/>
  <c r="Z4" i="1" l="1"/>
  <c r="Y5" i="1"/>
  <c r="Z5" i="1" l="1"/>
  <c r="AA4" i="1"/>
  <c r="AB4" i="1" l="1"/>
  <c r="AA5" i="1"/>
  <c r="AC4" i="1" l="1"/>
  <c r="AC5" i="1" s="1"/>
  <c r="AB5" i="1"/>
</calcChain>
</file>

<file path=xl/sharedStrings.xml><?xml version="1.0" encoding="utf-8"?>
<sst xmlns="http://schemas.openxmlformats.org/spreadsheetml/2006/main" count="49" uniqueCount="32">
  <si>
    <t>Fecha de inicio del proyecto</t>
  </si>
  <si>
    <t>Grupo</t>
  </si>
  <si>
    <t>Descripción</t>
  </si>
  <si>
    <t>Cumplimiento</t>
  </si>
  <si>
    <t>Fecha Inicio</t>
  </si>
  <si>
    <t>DÍAS</t>
  </si>
  <si>
    <t>Fecha Fin</t>
  </si>
  <si>
    <t>AHD3-FE</t>
  </si>
  <si>
    <t>AHD3-FE -&gt;</t>
  </si>
  <si>
    <t>Requerimientos, Git init y primer commit</t>
  </si>
  <si>
    <t>Repositorio conectado a GitHub por SSH</t>
  </si>
  <si>
    <t>Ramas, fusiones y conflicto resuelto</t>
  </si>
  <si>
    <t>Migración de la lógica a TypeScript (Vite)</t>
  </si>
  <si>
    <t>Clases POO: herencia, encapsulamiento, polimorfismo</t>
  </si>
  <si>
    <t>Formulario conectado a POO (validación y JSON)</t>
  </si>
  <si>
    <t>Verificación, build y despliegue (tag v1.0.0)</t>
  </si>
  <si>
    <t>AAT1</t>
  </si>
  <si>
    <t>AAT1 -&gt;</t>
  </si>
  <si>
    <t>Documentar requerimientos y boceto de estructura</t>
  </si>
  <si>
    <t>Confirmar control de versiones</t>
  </si>
  <si>
    <t>Justificar tecnologías en el README</t>
  </si>
  <si>
    <t>Migrar estilos a SASS (variables y anidamiento)</t>
  </si>
  <si>
    <t>Responsividad mobile-first (Media Queries)</t>
  </si>
  <si>
    <t>Transiciones, transformaciones y animaciones</t>
  </si>
  <si>
    <t>POO con JavaScript puro (sección Testimonios)</t>
  </si>
  <si>
    <t>POO con TypeScript verificado (npm run build)</t>
  </si>
  <si>
    <t>Verificación final y tag v2.0.0</t>
  </si>
  <si>
    <t>Mejoras adicionales</t>
  </si>
  <si>
    <t>Mejoras adicionales -&gt;</t>
  </si>
  <si>
    <t>Botón CTA conectado a WhatsApp</t>
  </si>
  <si>
    <t>Leyenda:</t>
  </si>
  <si>
    <t>Línea de Tiempo — KéfirVital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</si>
</sst>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\-mmm\-yyyy"/>
    <numFmt numFmtId="165" formatCode="dd/mm/yyyy"/>
    <numFmt numFmtId="166" formatCode="d"/>
  </numFmts>
  <fonts count="7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b/>
      <sz val="9"/>
      <color rgb="FFFFFFFF"/>
      <name val="Arial"/>
      <charset val="1"/>
    </font>
    <font>
      <b/>
      <sz val="9"/>
      <name val="Arial"/>
      <charset val="1"/>
    </font>
    <font>
      <sz val="8"/>
      <name val="Arial"/>
      <charset val="1"/>
    </font>
    <font>
      <i/>
      <sz val="8"/>
      <color rgb="FF718096"/>
      <name val="Arial"/>
      <charset val="1"/>
    </font>
    <font>
      <sz val="9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2B6CB0"/>
        <bgColor rgb="FF2C5282"/>
      </patternFill>
    </fill>
    <fill>
      <patternFill patternType="solid">
        <fgColor rgb="FF2C5282"/>
        <bgColor rgb="FF2B6CB0"/>
      </patternFill>
    </fill>
    <fill>
      <patternFill patternType="solid">
        <fgColor rgb="FFFFF2CC"/>
        <bgColor rgb="FFFFFFFF"/>
      </patternFill>
    </fill>
    <fill>
      <patternFill patternType="solid">
        <fgColor rgb="FF2D3748"/>
        <bgColor rgb="FF333300"/>
      </patternFill>
    </fill>
    <fill>
      <patternFill patternType="solid">
        <fgColor rgb="FFBEE3F8"/>
        <bgColor rgb="FFD9D9D9"/>
      </patternFill>
    </fill>
    <fill>
      <patternFill patternType="solid">
        <fgColor rgb="FF48BB78"/>
        <bgColor rgb="FF33CCCC"/>
      </patternFill>
    </fill>
    <fill>
      <patternFill patternType="solid">
        <fgColor rgb="FFED8936"/>
        <bgColor rgb="FFFF8080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8" borderId="0" xfId="0" applyFont="1" applyFill="1" applyBorder="1" applyAlignment="1">
      <alignment horizontal="left" vertical="center" indent="1"/>
    </xf>
    <xf numFmtId="0" fontId="1" fillId="7" borderId="0" xfId="0" applyFont="1" applyFill="1" applyBorder="1" applyAlignment="1">
      <alignment horizontal="left" vertical="center" indent="1"/>
    </xf>
    <xf numFmtId="0" fontId="1" fillId="2" borderId="0" xfId="0" applyFont="1" applyFill="1" applyBorder="1" applyAlignment="1">
      <alignment horizontal="left" vertical="center" indent="1"/>
    </xf>
    <xf numFmtId="165" fontId="3" fillId="4" borderId="2" xfId="0" applyNumberFormat="1" applyFont="1" applyFill="1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166" fontId="2" fillId="3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5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9" fontId="6" fillId="0" borderId="1" xfId="0" applyNumberFormat="1" applyFont="1" applyBorder="1" applyAlignment="1">
      <alignment horizontal="center" vertical="center"/>
    </xf>
    <xf numFmtId="165" fontId="6" fillId="0" borderId="1" xfId="0" applyNumberFormat="1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0" fillId="0" borderId="1" xfId="0" applyBorder="1"/>
    <xf numFmtId="0" fontId="0" fillId="7" borderId="1" xfId="0" applyFill="1" applyBorder="1"/>
    <xf numFmtId="0" fontId="0" fillId="8" borderId="1" xfId="0" applyFill="1" applyBorder="1"/>
    <xf numFmtId="0" fontId="3" fillId="0" borderId="0" xfId="0" applyFont="1"/>
    <xf numFmtId="0" fontId="2" fillId="2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</cellXfs>
  <cellStyles count="1">
    <cellStyle name="Normal" xfId="0" builtinId="0"/>
  </cellStyles>
  <dxfs count="18">
    <dxf>
      <fill>
        <patternFill>
          <bgColor rgb="FFFBD38D"/>
        </patternFill>
      </fill>
    </dxf>
    <dxf>
      <fill>
        <patternFill>
          <bgColor rgb="FFFBD38D"/>
        </patternFill>
      </fill>
    </dxf>
    <dxf>
      <fill>
        <patternFill>
          <bgColor rgb="FF9AE6B4"/>
        </patternFill>
      </fill>
    </dxf>
    <dxf>
      <fill>
        <patternFill>
          <bgColor rgb="FF9AE6B4"/>
        </patternFill>
      </fill>
    </dxf>
    <dxf>
      <fill>
        <patternFill>
          <bgColor rgb="FF9AE6B4"/>
        </patternFill>
      </fill>
    </dxf>
    <dxf>
      <fill>
        <patternFill>
          <bgColor rgb="FF9AE6B4"/>
        </patternFill>
      </fill>
    </dxf>
    <dxf>
      <fill>
        <patternFill>
          <bgColor rgb="FF9AE6B4"/>
        </patternFill>
      </fill>
    </dxf>
    <dxf>
      <fill>
        <patternFill>
          <bgColor rgb="FF9AE6B4"/>
        </patternFill>
      </fill>
    </dxf>
    <dxf>
      <fill>
        <patternFill>
          <bgColor rgb="FF9AE6B4"/>
        </patternFill>
      </fill>
    </dxf>
    <dxf>
      <fill>
        <patternFill>
          <bgColor rgb="FF9AE6B4"/>
        </patternFill>
      </fill>
    </dxf>
    <dxf>
      <fill>
        <patternFill>
          <bgColor rgb="FF9AE6B4"/>
        </patternFill>
      </fill>
    </dxf>
    <dxf>
      <fill>
        <patternFill>
          <bgColor rgb="FF90BEE8"/>
        </patternFill>
      </fill>
    </dxf>
    <dxf>
      <fill>
        <patternFill>
          <bgColor rgb="FF90BEE8"/>
        </patternFill>
      </fill>
    </dxf>
    <dxf>
      <fill>
        <patternFill>
          <bgColor rgb="FF90BEE8"/>
        </patternFill>
      </fill>
    </dxf>
    <dxf>
      <fill>
        <patternFill>
          <bgColor rgb="FF90BEE8"/>
        </patternFill>
      </fill>
    </dxf>
    <dxf>
      <fill>
        <patternFill>
          <bgColor rgb="FF90BEE8"/>
        </patternFill>
      </fill>
    </dxf>
    <dxf>
      <fill>
        <patternFill>
          <bgColor rgb="FF90BEE8"/>
        </patternFill>
      </fill>
    </dxf>
    <dxf>
      <fill>
        <patternFill>
          <bgColor rgb="FF90BEE8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18096"/>
      <rgbColor rgb="FF9999FF"/>
      <rgbColor rgb="FF993366"/>
      <rgbColor rgb="FFFFF2CC"/>
      <rgbColor rgb="FFBEE3F8"/>
      <rgbColor rgb="FF660066"/>
      <rgbColor rgb="FFFF8080"/>
      <rgbColor rgb="FF2B6CB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9AE6B4"/>
      <rgbColor rgb="FFFFFF99"/>
      <rgbColor rgb="FF90BEE8"/>
      <rgbColor rgb="FFFF99CC"/>
      <rgbColor rgb="FFCC99FF"/>
      <rgbColor rgb="FFFBD38D"/>
      <rgbColor rgb="FF3366FF"/>
      <rgbColor rgb="FF33CCCC"/>
      <rgbColor rgb="FF99CC00"/>
      <rgbColor rgb="FFFFCC00"/>
      <rgbColor rgb="FFED8936"/>
      <rgbColor rgb="FFFF6600"/>
      <rgbColor rgb="FF666699"/>
      <rgbColor rgb="FF969696"/>
      <rgbColor rgb="FF003366"/>
      <rgbColor rgb="FF48BB78"/>
      <rgbColor rgb="FF003300"/>
      <rgbColor rgb="FF333300"/>
      <rgbColor rgb="FF993300"/>
      <rgbColor rgb="FF993366"/>
      <rgbColor rgb="FF2C5282"/>
      <rgbColor rgb="FF2D3748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7"/>
  <sheetViews>
    <sheetView tabSelected="1" zoomScaleNormal="100" workbookViewId="0">
      <pane ySplit="5" topLeftCell="A6" activePane="bottomLeft" state="frozen"/>
      <selection pane="bottomLeft" activeCell="AA25" sqref="AA25"/>
    </sheetView>
  </sheetViews>
  <sheetFormatPr baseColWidth="10" defaultColWidth="8.7109375" defaultRowHeight="15" x14ac:dyDescent="0.25"/>
  <cols>
    <col min="1" max="1" width="14" customWidth="1"/>
    <col min="2" max="2" width="42" customWidth="1"/>
    <col min="3" max="3" width="12" customWidth="1"/>
    <col min="4" max="4" width="2" customWidth="1"/>
    <col min="5" max="5" width="11" customWidth="1"/>
    <col min="6" max="6" width="6" customWidth="1"/>
    <col min="7" max="7" width="11" customWidth="1"/>
    <col min="8" max="8" width="2" customWidth="1"/>
    <col min="9" max="29" width="3.42578125" customWidth="1"/>
  </cols>
  <sheetData>
    <row r="1" spans="1:29" ht="21.75" customHeight="1" x14ac:dyDescent="0.25">
      <c r="I1" s="7" t="s">
        <v>31</v>
      </c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</row>
    <row r="3" spans="1:29" ht="18" customHeight="1" x14ac:dyDescent="0.25">
      <c r="I3" s="6">
        <v>46226</v>
      </c>
      <c r="J3" s="6"/>
      <c r="K3" s="6"/>
      <c r="L3" s="6"/>
      <c r="M3" s="6"/>
      <c r="N3" s="6"/>
      <c r="O3" s="6"/>
      <c r="P3" s="6">
        <v>46233</v>
      </c>
      <c r="Q3" s="6"/>
      <c r="R3" s="6"/>
      <c r="S3" s="6"/>
      <c r="T3" s="6"/>
      <c r="U3" s="6"/>
      <c r="V3" s="6"/>
      <c r="W3" s="6">
        <v>46240</v>
      </c>
      <c r="X3" s="6"/>
      <c r="Y3" s="6"/>
      <c r="Z3" s="6"/>
      <c r="AA3" s="6"/>
      <c r="AB3" s="6"/>
      <c r="AC3" s="6"/>
    </row>
    <row r="4" spans="1:29" ht="15.75" customHeight="1" x14ac:dyDescent="0.25">
      <c r="A4" s="5" t="s">
        <v>0</v>
      </c>
      <c r="B4" s="5"/>
      <c r="C4" s="5"/>
      <c r="E4" s="4">
        <v>46226</v>
      </c>
      <c r="F4" s="4"/>
      <c r="G4" s="4"/>
      <c r="I4" s="8">
        <f>$E$4</f>
        <v>46226</v>
      </c>
      <c r="J4" s="8">
        <f t="shared" ref="J4:AC4" si="0">I4+1</f>
        <v>46227</v>
      </c>
      <c r="K4" s="8">
        <f t="shared" si="0"/>
        <v>46228</v>
      </c>
      <c r="L4" s="8">
        <f t="shared" si="0"/>
        <v>46229</v>
      </c>
      <c r="M4" s="8">
        <f t="shared" si="0"/>
        <v>46230</v>
      </c>
      <c r="N4" s="8">
        <f t="shared" si="0"/>
        <v>46231</v>
      </c>
      <c r="O4" s="8">
        <f t="shared" si="0"/>
        <v>46232</v>
      </c>
      <c r="P4" s="8">
        <f t="shared" si="0"/>
        <v>46233</v>
      </c>
      <c r="Q4" s="8">
        <f t="shared" si="0"/>
        <v>46234</v>
      </c>
      <c r="R4" s="8">
        <f t="shared" si="0"/>
        <v>46235</v>
      </c>
      <c r="S4" s="8">
        <f t="shared" si="0"/>
        <v>46236</v>
      </c>
      <c r="T4" s="8">
        <f t="shared" si="0"/>
        <v>46237</v>
      </c>
      <c r="U4" s="8">
        <f t="shared" si="0"/>
        <v>46238</v>
      </c>
      <c r="V4" s="8">
        <f t="shared" si="0"/>
        <v>46239</v>
      </c>
      <c r="W4" s="8">
        <f t="shared" si="0"/>
        <v>46240</v>
      </c>
      <c r="X4" s="8">
        <f t="shared" si="0"/>
        <v>46241</v>
      </c>
      <c r="Y4" s="8">
        <f t="shared" si="0"/>
        <v>46242</v>
      </c>
      <c r="Z4" s="8">
        <f t="shared" si="0"/>
        <v>46243</v>
      </c>
      <c r="AA4" s="8">
        <f t="shared" si="0"/>
        <v>46244</v>
      </c>
      <c r="AB4" s="8">
        <f t="shared" si="0"/>
        <v>46245</v>
      </c>
      <c r="AC4" s="8">
        <f t="shared" si="0"/>
        <v>46246</v>
      </c>
    </row>
    <row r="5" spans="1:29" ht="15.75" customHeight="1" x14ac:dyDescent="0.25">
      <c r="A5" s="9" t="s">
        <v>1</v>
      </c>
      <c r="B5" s="9" t="s">
        <v>2</v>
      </c>
      <c r="C5" s="9" t="s">
        <v>3</v>
      </c>
      <c r="D5" s="9"/>
      <c r="E5" s="9" t="s">
        <v>4</v>
      </c>
      <c r="F5" s="9" t="s">
        <v>5</v>
      </c>
      <c r="G5" s="9" t="s">
        <v>6</v>
      </c>
      <c r="H5" s="9"/>
      <c r="I5" s="10" t="str">
        <f t="shared" ref="I5:AC5" si="1">TEXT(I4,"ddd")</f>
        <v>jue</v>
      </c>
      <c r="J5" s="10" t="str">
        <f t="shared" si="1"/>
        <v>vie</v>
      </c>
      <c r="K5" s="10" t="str">
        <f t="shared" si="1"/>
        <v>sáb</v>
      </c>
      <c r="L5" s="10" t="str">
        <f t="shared" si="1"/>
        <v>dom</v>
      </c>
      <c r="M5" s="10" t="str">
        <f t="shared" si="1"/>
        <v>lun</v>
      </c>
      <c r="N5" s="10" t="str">
        <f t="shared" si="1"/>
        <v>mar</v>
      </c>
      <c r="O5" s="10" t="str">
        <f t="shared" si="1"/>
        <v>mié</v>
      </c>
      <c r="P5" s="10" t="str">
        <f t="shared" si="1"/>
        <v>jue</v>
      </c>
      <c r="Q5" s="10" t="str">
        <f t="shared" si="1"/>
        <v>vie</v>
      </c>
      <c r="R5" s="10" t="str">
        <f t="shared" si="1"/>
        <v>sáb</v>
      </c>
      <c r="S5" s="10" t="str">
        <f t="shared" si="1"/>
        <v>dom</v>
      </c>
      <c r="T5" s="10" t="str">
        <f t="shared" si="1"/>
        <v>lun</v>
      </c>
      <c r="U5" s="10" t="str">
        <f t="shared" si="1"/>
        <v>mar</v>
      </c>
      <c r="V5" s="10" t="str">
        <f t="shared" si="1"/>
        <v>mié</v>
      </c>
      <c r="W5" s="10" t="str">
        <f t="shared" si="1"/>
        <v>jue</v>
      </c>
      <c r="X5" s="10" t="str">
        <f t="shared" si="1"/>
        <v>vie</v>
      </c>
      <c r="Y5" s="10" t="str">
        <f t="shared" si="1"/>
        <v>sáb</v>
      </c>
      <c r="Z5" s="10" t="str">
        <f t="shared" si="1"/>
        <v>dom</v>
      </c>
      <c r="AA5" s="10" t="str">
        <f t="shared" si="1"/>
        <v>lun</v>
      </c>
      <c r="AB5" s="10" t="str">
        <f t="shared" si="1"/>
        <v>mar</v>
      </c>
      <c r="AC5" s="10" t="str">
        <f t="shared" si="1"/>
        <v>mié</v>
      </c>
    </row>
    <row r="6" spans="1:29" ht="15.75" customHeight="1" x14ac:dyDescent="0.25">
      <c r="A6" s="3" t="s">
        <v>7</v>
      </c>
      <c r="B6" s="3"/>
      <c r="C6" s="3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29" x14ac:dyDescent="0.25">
      <c r="A7" s="12" t="s">
        <v>8</v>
      </c>
      <c r="B7" s="13" t="s">
        <v>9</v>
      </c>
      <c r="C7" s="14">
        <v>1</v>
      </c>
      <c r="E7" s="15">
        <v>46226</v>
      </c>
      <c r="F7" s="16">
        <v>1</v>
      </c>
      <c r="G7" s="15">
        <f t="shared" ref="G7:G13" si="2">E7+F7-1</f>
        <v>46226</v>
      </c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</row>
    <row r="8" spans="1:29" x14ac:dyDescent="0.25">
      <c r="A8" s="12" t="s">
        <v>8</v>
      </c>
      <c r="B8" s="13" t="s">
        <v>10</v>
      </c>
      <c r="C8" s="14">
        <v>1</v>
      </c>
      <c r="E8" s="15">
        <v>46226</v>
      </c>
      <c r="F8" s="16">
        <v>1</v>
      </c>
      <c r="G8" s="15">
        <f t="shared" si="2"/>
        <v>46226</v>
      </c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</row>
    <row r="9" spans="1:29" x14ac:dyDescent="0.25">
      <c r="A9" s="12" t="s">
        <v>8</v>
      </c>
      <c r="B9" s="13" t="s">
        <v>11</v>
      </c>
      <c r="C9" s="14">
        <v>1</v>
      </c>
      <c r="E9" s="15">
        <v>46231</v>
      </c>
      <c r="F9" s="16">
        <v>1</v>
      </c>
      <c r="G9" s="15">
        <f t="shared" si="2"/>
        <v>46231</v>
      </c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</row>
    <row r="10" spans="1:29" x14ac:dyDescent="0.25">
      <c r="A10" s="12" t="s">
        <v>8</v>
      </c>
      <c r="B10" s="13" t="s">
        <v>12</v>
      </c>
      <c r="C10" s="14">
        <v>1</v>
      </c>
      <c r="E10" s="15">
        <v>46232</v>
      </c>
      <c r="F10" s="16">
        <v>1</v>
      </c>
      <c r="G10" s="15">
        <f t="shared" si="2"/>
        <v>46232</v>
      </c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</row>
    <row r="11" spans="1:29" x14ac:dyDescent="0.25">
      <c r="A11" s="12" t="s">
        <v>8</v>
      </c>
      <c r="B11" s="13" t="s">
        <v>13</v>
      </c>
      <c r="C11" s="14">
        <v>1</v>
      </c>
      <c r="E11" s="15">
        <v>46232</v>
      </c>
      <c r="F11" s="16">
        <v>1</v>
      </c>
      <c r="G11" s="15">
        <f t="shared" si="2"/>
        <v>46232</v>
      </c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</row>
    <row r="12" spans="1:29" x14ac:dyDescent="0.25">
      <c r="A12" s="12" t="s">
        <v>8</v>
      </c>
      <c r="B12" s="13" t="s">
        <v>14</v>
      </c>
      <c r="C12" s="14">
        <v>1</v>
      </c>
      <c r="E12" s="15">
        <v>46233</v>
      </c>
      <c r="F12" s="16">
        <v>1</v>
      </c>
      <c r="G12" s="15">
        <f t="shared" si="2"/>
        <v>46233</v>
      </c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</row>
    <row r="13" spans="1:29" x14ac:dyDescent="0.25">
      <c r="A13" s="12" t="s">
        <v>8</v>
      </c>
      <c r="B13" s="13" t="s">
        <v>15</v>
      </c>
      <c r="C13" s="14">
        <v>1</v>
      </c>
      <c r="E13" s="15">
        <v>46233</v>
      </c>
      <c r="F13" s="16">
        <v>1</v>
      </c>
      <c r="G13" s="15">
        <f t="shared" si="2"/>
        <v>46233</v>
      </c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</row>
    <row r="14" spans="1:29" ht="15.75" customHeight="1" x14ac:dyDescent="0.25">
      <c r="A14" s="2" t="s">
        <v>16</v>
      </c>
      <c r="B14" s="2"/>
      <c r="C14" s="2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</row>
    <row r="15" spans="1:29" x14ac:dyDescent="0.25">
      <c r="A15" s="12" t="s">
        <v>17</v>
      </c>
      <c r="B15" s="13" t="s">
        <v>18</v>
      </c>
      <c r="C15" s="14">
        <v>1</v>
      </c>
      <c r="E15" s="15">
        <v>46238</v>
      </c>
      <c r="F15" s="16">
        <v>1</v>
      </c>
      <c r="G15" s="15">
        <f t="shared" ref="G15:G23" si="3">E15+F15-1</f>
        <v>46238</v>
      </c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</row>
    <row r="16" spans="1:29" x14ac:dyDescent="0.25">
      <c r="A16" s="12" t="s">
        <v>17</v>
      </c>
      <c r="B16" s="13" t="s">
        <v>19</v>
      </c>
      <c r="C16" s="14">
        <v>1</v>
      </c>
      <c r="E16" s="15">
        <v>46238</v>
      </c>
      <c r="F16" s="16">
        <v>1</v>
      </c>
      <c r="G16" s="15">
        <f t="shared" si="3"/>
        <v>46238</v>
      </c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</row>
    <row r="17" spans="1:29" x14ac:dyDescent="0.25">
      <c r="A17" s="12" t="s">
        <v>17</v>
      </c>
      <c r="B17" s="13" t="s">
        <v>20</v>
      </c>
      <c r="C17" s="14">
        <v>1</v>
      </c>
      <c r="E17" s="15">
        <v>46238</v>
      </c>
      <c r="F17" s="16">
        <v>1</v>
      </c>
      <c r="G17" s="15">
        <f t="shared" si="3"/>
        <v>46238</v>
      </c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</row>
    <row r="18" spans="1:29" x14ac:dyDescent="0.25">
      <c r="A18" s="12" t="s">
        <v>17</v>
      </c>
      <c r="B18" s="13" t="s">
        <v>21</v>
      </c>
      <c r="C18" s="14">
        <v>1</v>
      </c>
      <c r="E18" s="15">
        <v>46239</v>
      </c>
      <c r="F18" s="16">
        <v>1</v>
      </c>
      <c r="G18" s="15">
        <f t="shared" si="3"/>
        <v>46239</v>
      </c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</row>
    <row r="19" spans="1:29" x14ac:dyDescent="0.25">
      <c r="A19" s="12" t="s">
        <v>17</v>
      </c>
      <c r="B19" s="13" t="s">
        <v>22</v>
      </c>
      <c r="C19" s="14">
        <v>1</v>
      </c>
      <c r="E19" s="15">
        <v>46239</v>
      </c>
      <c r="F19" s="16">
        <v>1</v>
      </c>
      <c r="G19" s="15">
        <f t="shared" si="3"/>
        <v>46239</v>
      </c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</row>
    <row r="20" spans="1:29" x14ac:dyDescent="0.25">
      <c r="A20" s="12" t="s">
        <v>17</v>
      </c>
      <c r="B20" s="13" t="s">
        <v>23</v>
      </c>
      <c r="C20" s="14">
        <v>1</v>
      </c>
      <c r="E20" s="15">
        <v>46240</v>
      </c>
      <c r="F20" s="16">
        <v>1</v>
      </c>
      <c r="G20" s="15">
        <f t="shared" si="3"/>
        <v>46240</v>
      </c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</row>
    <row r="21" spans="1:29" x14ac:dyDescent="0.25">
      <c r="A21" s="12" t="s">
        <v>17</v>
      </c>
      <c r="B21" s="13" t="s">
        <v>24</v>
      </c>
      <c r="C21" s="14">
        <v>1</v>
      </c>
      <c r="E21" s="15">
        <v>46240</v>
      </c>
      <c r="F21" s="16">
        <v>1</v>
      </c>
      <c r="G21" s="15">
        <f t="shared" si="3"/>
        <v>46240</v>
      </c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</row>
    <row r="22" spans="1:29" x14ac:dyDescent="0.25">
      <c r="A22" s="12" t="s">
        <v>17</v>
      </c>
      <c r="B22" s="13" t="s">
        <v>25</v>
      </c>
      <c r="C22" s="14">
        <v>1</v>
      </c>
      <c r="E22" s="15">
        <v>46240</v>
      </c>
      <c r="F22" s="16">
        <v>1</v>
      </c>
      <c r="G22" s="15">
        <f t="shared" si="3"/>
        <v>46240</v>
      </c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</row>
    <row r="23" spans="1:29" x14ac:dyDescent="0.25">
      <c r="A23" s="12" t="s">
        <v>17</v>
      </c>
      <c r="B23" s="13" t="s">
        <v>26</v>
      </c>
      <c r="C23" s="14">
        <v>1</v>
      </c>
      <c r="E23" s="15">
        <v>46245</v>
      </c>
      <c r="F23" s="16">
        <v>1</v>
      </c>
      <c r="G23" s="15">
        <f t="shared" si="3"/>
        <v>46245</v>
      </c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</row>
    <row r="24" spans="1:29" ht="15.75" customHeight="1" x14ac:dyDescent="0.25">
      <c r="A24" s="1" t="s">
        <v>27</v>
      </c>
      <c r="B24" s="1"/>
      <c r="C24" s="1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</row>
    <row r="25" spans="1:29" x14ac:dyDescent="0.25">
      <c r="A25" s="12" t="s">
        <v>28</v>
      </c>
      <c r="B25" s="13" t="s">
        <v>29</v>
      </c>
      <c r="C25" s="14">
        <v>1</v>
      </c>
      <c r="E25" s="15">
        <v>46246</v>
      </c>
      <c r="F25" s="16">
        <v>1</v>
      </c>
      <c r="G25" s="15">
        <f>E25+F25-1</f>
        <v>46246</v>
      </c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</row>
    <row r="27" spans="1:29" x14ac:dyDescent="0.25">
      <c r="A27" s="20" t="s">
        <v>30</v>
      </c>
      <c r="B27" s="21" t="s">
        <v>7</v>
      </c>
      <c r="C27" s="22" t="s">
        <v>16</v>
      </c>
      <c r="D27" s="23" t="s">
        <v>27</v>
      </c>
      <c r="E27" s="23"/>
      <c r="F27" s="23"/>
      <c r="G27" s="23"/>
    </row>
  </sheetData>
  <mergeCells count="10">
    <mergeCell ref="A6:C6"/>
    <mergeCell ref="A14:C14"/>
    <mergeCell ref="A24:C24"/>
    <mergeCell ref="D27:G27"/>
    <mergeCell ref="I1:AC1"/>
    <mergeCell ref="I3:O3"/>
    <mergeCell ref="P3:V3"/>
    <mergeCell ref="W3:AC3"/>
    <mergeCell ref="A4:C4"/>
    <mergeCell ref="E4:G4"/>
  </mergeCells>
  <conditionalFormatting sqref="C6:C25">
    <cfRule type="dataBar" priority="2">
      <dataBar>
        <cfvo type="num" val="0"/>
        <cfvo type="num" val="1"/>
        <color rgb="FF48BB78"/>
      </dataBar>
      <extLst>
        <ext xmlns:x14="http://schemas.microsoft.com/office/spreadsheetml/2009/9/main" uri="{B025F937-C7B1-47D3-B67F-A62EFF666E3E}">
          <x14:id>{8858A030-36B2-43D4-B98B-BBD4DBBCDC31}</x14:id>
        </ext>
      </extLst>
    </cfRule>
  </conditionalFormatting>
  <conditionalFormatting sqref="I7:AC7">
    <cfRule type="expression" dxfId="17" priority="3">
      <formula>AND(I$4&gt;=$E7,I$4&lt;=$G7)</formula>
    </cfRule>
  </conditionalFormatting>
  <conditionalFormatting sqref="I8:AC8">
    <cfRule type="expression" dxfId="16" priority="4">
      <formula>AND(I$4&gt;=$E8,I$4&lt;=$G8)</formula>
    </cfRule>
  </conditionalFormatting>
  <conditionalFormatting sqref="I9:AC9">
    <cfRule type="expression" dxfId="15" priority="5">
      <formula>AND(I$4&gt;=$E9,I$4&lt;=$G9)</formula>
    </cfRule>
  </conditionalFormatting>
  <conditionalFormatting sqref="I10:AC10">
    <cfRule type="expression" dxfId="14" priority="6">
      <formula>AND(I$4&gt;=$E10,I$4&lt;=$G10)</formula>
    </cfRule>
  </conditionalFormatting>
  <conditionalFormatting sqref="I11:AC11">
    <cfRule type="expression" dxfId="13" priority="7">
      <formula>AND(I$4&gt;=$E11,I$4&lt;=$G11)</formula>
    </cfRule>
  </conditionalFormatting>
  <conditionalFormatting sqref="I12:AC12">
    <cfRule type="expression" dxfId="12" priority="8">
      <formula>AND(I$4&gt;=$E12,I$4&lt;=$G12)</formula>
    </cfRule>
  </conditionalFormatting>
  <conditionalFormatting sqref="I13:AC13">
    <cfRule type="expression" dxfId="11" priority="9">
      <formula>AND(I$4&gt;=$E13,I$4&lt;=$G13)</formula>
    </cfRule>
  </conditionalFormatting>
  <conditionalFormatting sqref="I15:AC15">
    <cfRule type="expression" dxfId="10" priority="10">
      <formula>AND(I$4&gt;=$E15,I$4&lt;=$G15)</formula>
    </cfRule>
  </conditionalFormatting>
  <conditionalFormatting sqref="I16:AC16">
    <cfRule type="expression" dxfId="9" priority="11">
      <formula>AND(I$4&gt;=$E16,I$4&lt;=$G16)</formula>
    </cfRule>
  </conditionalFormatting>
  <conditionalFormatting sqref="I17:AC17">
    <cfRule type="expression" dxfId="8" priority="12">
      <formula>AND(I$4&gt;=$E17,I$4&lt;=$G17)</formula>
    </cfRule>
  </conditionalFormatting>
  <conditionalFormatting sqref="I18:AC18">
    <cfRule type="expression" dxfId="7" priority="13">
      <formula>AND(I$4&gt;=$E18,I$4&lt;=$G18)</formula>
    </cfRule>
  </conditionalFormatting>
  <conditionalFormatting sqref="I19:AC19">
    <cfRule type="expression" dxfId="6" priority="14">
      <formula>AND(I$4&gt;=$E19,I$4&lt;=$G19)</formula>
    </cfRule>
  </conditionalFormatting>
  <conditionalFormatting sqref="I20:AC20">
    <cfRule type="expression" dxfId="5" priority="15">
      <formula>AND(I$4&gt;=$E20,I$4&lt;=$G20)</formula>
    </cfRule>
  </conditionalFormatting>
  <conditionalFormatting sqref="I21:AC21">
    <cfRule type="expression" dxfId="4" priority="16">
      <formula>AND(I$4&gt;=$E21,I$4&lt;=$G21)</formula>
    </cfRule>
  </conditionalFormatting>
  <conditionalFormatting sqref="I22:AC22">
    <cfRule type="expression" dxfId="3" priority="17">
      <formula>AND(I$4&gt;=$E22,I$4&lt;=$G22)</formula>
    </cfRule>
  </conditionalFormatting>
  <conditionalFormatting sqref="I23:AC23">
    <cfRule type="expression" dxfId="2" priority="18">
      <formula>AND(I$4&gt;=$E23,I$4&lt;=$G23)</formula>
    </cfRule>
  </conditionalFormatting>
  <conditionalFormatting sqref="I25:AA25">
    <cfRule type="expression" dxfId="1" priority="19">
      <formula>AND(I$4&gt;=$E25,I$4&lt;=$G25)</formula>
    </cfRule>
  </conditionalFormatting>
  <conditionalFormatting sqref="AB25">
    <cfRule type="expression" dxfId="0" priority="21">
      <formula>AND(AC$4&gt;=$E25,AC$4&lt;=$G25)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858A030-36B2-43D4-B98B-BBD4DBBCDC31}">
            <x14:dataBar axisPosition="none">
              <x14:cfvo type="num">
                <xm:f>0</xm:f>
              </x14:cfvo>
              <x14:cfvo type="num">
                <xm:f>1</xm:f>
              </x14:cfvo>
              <x14:negativeFillColor rgb="FF48BB78"/>
            </x14:dataBar>
          </x14:cfRule>
          <xm:sqref>C6:C25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Gantt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JoshYJ</cp:lastModifiedBy>
  <cp:revision>0</cp:revision>
  <dcterms:created xsi:type="dcterms:W3CDTF">2026-08-12T03:59:18Z</dcterms:created>
  <dcterms:modified xsi:type="dcterms:W3CDTF">2026-08-12T04:57:18Z</dcterms:modified>
  <dc:language>en-US</dc:language>
</cp:coreProperties>
</file>